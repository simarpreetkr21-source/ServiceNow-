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 Tracker" sheetId="2" state="visible" r:id="rId2"/>
    <sheet xmlns:r="http://schemas.openxmlformats.org/officeDocument/2006/relationships" name="Triage Rules" sheetId="3" state="visible" r:id="rId3"/>
    <sheet xmlns:r="http://schemas.openxmlformats.org/officeDocument/2006/relationships" name="Test Cases" sheetId="4" state="visible" r:id="rId4"/>
  </sheets>
  <definedNames>
    <definedName name="_xlnm._FilterDatabase" localSheetId="1" hidden="1">'Ticket Tracker'!$A$1:$P$13</definedName>
    <definedName name="_xlnm._FilterDatabase" localSheetId="2" hidden="1">'Triage Rules'!$A$1:$D$10</definedName>
    <definedName name="_xlnm._FilterDatabase" localSheetId="3" hidden="1">'Test Cases'!$A$1:$G$10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9C0006"/>
    </font>
    <font>
      <b val="1"/>
    </font>
    <font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icketTracker" displayName="TicketTracker" ref="A1:P13" headerRowCount="1">
  <autoFilter ref="A1:P13"/>
  <tableColumns count="16">
    <tableColumn id="1" name="Ticket ID"/>
    <tableColumn id="2" name="Date Opened"/>
    <tableColumn id="3" name="Requester"/>
    <tableColumn id="4" name="Department"/>
    <tableColumn id="5" name="Issue Type"/>
    <tableColumn id="6" name="Short Description"/>
    <tableColumn id="7" name="Impact"/>
    <tableColumn id="8" name="Urgency"/>
    <tableColumn id="9" name="Priority"/>
    <tableColumn id="10" name="Assigned Team"/>
    <tableColumn id="11" name="Status"/>
    <tableColumn id="12" name="SLA Target (Hours)"/>
    <tableColumn id="13" name="Hours Open"/>
    <tableColumn id="14" name="SLA Status"/>
    <tableColumn id="15" name="Troubleshooting / Resolution Notes"/>
    <tableColumn id="16" name="Next 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</cols>
  <sheetData>
    <row r="1">
      <c r="A1" s="1" t="inlineStr">
        <is>
          <t>Service Desk Ticket Triage — Portfolio Summary</t>
        </is>
      </c>
    </row>
    <row r="2">
      <c r="A2" s="2" t="inlineStr">
        <is>
          <t>Illustrative sample data only. This is not a live ServiceNow instance.</t>
        </is>
      </c>
    </row>
    <row r="3">
      <c r="A3" s="3" t="inlineStr">
        <is>
          <t>Metric</t>
        </is>
      </c>
      <c r="B3" s="3" t="inlineStr">
        <is>
          <t>Formula / Value</t>
        </is>
      </c>
      <c r="C3" s="3" t="n"/>
      <c r="D3" s="3" t="n"/>
    </row>
    <row r="4">
      <c r="A4" s="4" t="inlineStr">
        <is>
          <t>Total sample tickets</t>
        </is>
      </c>
      <c r="B4" s="5">
        <f>COUNTA('Ticket Tracker'!A2:A13)</f>
        <v/>
      </c>
    </row>
    <row r="5">
      <c r="A5" s="4" t="inlineStr">
        <is>
          <t>Open / in progress</t>
        </is>
      </c>
      <c r="B5" s="5">
        <f>COUNTIF('Ticket Tracker'!K2:K13,"&lt;&gt;Resolved")</f>
        <v/>
      </c>
    </row>
    <row r="6">
      <c r="A6" s="4" t="inlineStr">
        <is>
          <t>P1 - Critical</t>
        </is>
      </c>
      <c r="B6" s="5">
        <f>COUNTIF('Ticket Tracker'!I2:I13,"P1 - Critical")</f>
        <v/>
      </c>
    </row>
    <row r="7">
      <c r="A7" s="4" t="inlineStr">
        <is>
          <t>SLA breached</t>
        </is>
      </c>
      <c r="B7" s="5">
        <f>COUNTIF('Ticket Tracker'!N2:N13,"Breached")</f>
        <v/>
      </c>
    </row>
    <row r="8">
      <c r="A8" s="4" t="inlineStr">
        <is>
          <t>SLA at risk</t>
        </is>
      </c>
      <c r="B8" s="5">
        <f>COUNTIF('Ticket Tracker'!N2:N13,"At Risk")</f>
        <v/>
      </c>
    </row>
    <row r="9">
      <c r="A9" s="4" t="inlineStr">
        <is>
          <t>Resolved</t>
        </is>
      </c>
      <c r="B9" s="5">
        <f>COUNTIF('Ticket Tracker'!K2:K13,"Resolved")</f>
        <v/>
      </c>
    </row>
    <row r="12">
      <c r="A12" s="6" t="inlineStr">
        <is>
          <t>How to use</t>
        </is>
      </c>
    </row>
    <row r="13">
      <c r="A13" s="7" t="inlineStr">
        <is>
          <t>1. Review Ticket Tracker; change fictional values to test the formulas.</t>
        </is>
      </c>
    </row>
    <row r="14">
      <c r="A14" s="7" t="inlineStr">
        <is>
          <t>2. Review Triage Rules to explain the logic and limits.</t>
        </is>
      </c>
    </row>
    <row r="15">
      <c r="A15" s="7" t="inlineStr">
        <is>
          <t>3. Confirm formulas recalculate in Excel or Google Sheets after import.</t>
        </is>
      </c>
    </row>
    <row r="16">
      <c r="A16" s="7" t="inlineStr">
        <is>
          <t>4. No real tickets, notifications, approvals, or ServiceNow records are created.</t>
        </is>
      </c>
    </row>
  </sheetData>
  <mergeCells count="6">
    <mergeCell ref="A1:D1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6" customWidth="1" min="4" max="4"/>
    <col width="20" customWidth="1" min="5" max="5"/>
    <col width="38" customWidth="1" min="6" max="6"/>
    <col width="12" customWidth="1" min="7" max="7"/>
    <col width="12" customWidth="1" min="8" max="8"/>
    <col width="18" customWidth="1" min="9" max="9"/>
    <col width="22" customWidth="1" min="10" max="10"/>
    <col width="16" customWidth="1" min="11" max="11"/>
    <col width="17" customWidth="1" min="12" max="12"/>
    <col width="13" customWidth="1" min="13" max="13"/>
    <col width="16" customWidth="1" min="14" max="14"/>
    <col width="48" customWidth="1" min="15" max="15"/>
    <col width="48" customWidth="1" min="16" max="16"/>
  </cols>
  <sheetData>
    <row r="1" ht="34" customHeight="1">
      <c r="A1" s="8" t="inlineStr">
        <is>
          <t>Ticket ID</t>
        </is>
      </c>
      <c r="B1" s="8" t="inlineStr">
        <is>
          <t>Date Opened</t>
        </is>
      </c>
      <c r="C1" s="8" t="inlineStr">
        <is>
          <t>Requester</t>
        </is>
      </c>
      <c r="D1" s="8" t="inlineStr">
        <is>
          <t>Department</t>
        </is>
      </c>
      <c r="E1" s="8" t="inlineStr">
        <is>
          <t>Issue Type</t>
        </is>
      </c>
      <c r="F1" s="8" t="inlineStr">
        <is>
          <t>Short Description</t>
        </is>
      </c>
      <c r="G1" s="8" t="inlineStr">
        <is>
          <t>Impact</t>
        </is>
      </c>
      <c r="H1" s="8" t="inlineStr">
        <is>
          <t>Urgency</t>
        </is>
      </c>
      <c r="I1" s="8" t="inlineStr">
        <is>
          <t>Priority</t>
        </is>
      </c>
      <c r="J1" s="8" t="inlineStr">
        <is>
          <t>Assigned Team</t>
        </is>
      </c>
      <c r="K1" s="8" t="inlineStr">
        <is>
          <t>Status</t>
        </is>
      </c>
      <c r="L1" s="8" t="inlineStr">
        <is>
          <t>SLA Target (Hours)</t>
        </is>
      </c>
      <c r="M1" s="8" t="inlineStr">
        <is>
          <t>Hours Open</t>
        </is>
      </c>
      <c r="N1" s="8" t="inlineStr">
        <is>
          <t>SLA Status</t>
        </is>
      </c>
      <c r="O1" s="8" t="inlineStr">
        <is>
          <t>Troubleshooting / Resolution Notes</t>
        </is>
      </c>
      <c r="P1" s="8" t="inlineStr">
        <is>
          <t>Next Action</t>
        </is>
      </c>
    </row>
    <row r="2">
      <c r="A2" s="9" t="inlineStr">
        <is>
          <t>INC1001</t>
        </is>
      </c>
      <c r="B2" s="10" t="inlineStr">
        <is>
          <t>2026-10-26</t>
        </is>
      </c>
      <c r="C2" s="9" t="inlineStr">
        <is>
          <t>A. Patel</t>
        </is>
      </c>
      <c r="D2" s="9" t="inlineStr">
        <is>
          <t>Finance</t>
        </is>
      </c>
      <c r="E2" s="9" t="inlineStr">
        <is>
          <t>Access</t>
        </is>
      </c>
      <c r="F2" s="9" t="inlineStr">
        <is>
          <t>Cannot access finance shared folder</t>
        </is>
      </c>
      <c r="G2" s="9" t="inlineStr">
        <is>
          <t>High</t>
        </is>
      </c>
      <c r="H2" s="9" t="inlineStr">
        <is>
          <t>High</t>
        </is>
      </c>
      <c r="I2" s="9">
        <f>IF(AND(G2="High",H2="High"),"P1 - Critical",IF(OR(AND(G2="High",H2="Medium"),AND(G2="Medium",H2="High")),"P2 - High",IF(OR(G2="Medium",H2="Medium"),"P3 - Normal","P4 - Low")))</f>
        <v/>
      </c>
      <c r="J2" s="9" t="inlineStr">
        <is>
          <t>IT Support</t>
        </is>
      </c>
      <c r="K2" s="9" t="inlineStr">
        <is>
          <t>In Progress</t>
        </is>
      </c>
      <c r="L2" s="11" t="n">
        <v>4</v>
      </c>
      <c r="M2" s="11" t="n">
        <v>2</v>
      </c>
      <c r="N2" s="9">
        <f>IF(K2="Resolved","Resolved",IF(M2&gt;=L2,"Breached",IF(M2&gt;=L2*0.8,"At Risk","Within SLA")))</f>
        <v/>
      </c>
      <c r="O2" s="9" t="inlineStr">
        <is>
          <t>Checking approved group membership.</t>
        </is>
      </c>
      <c r="P2" s="9" t="inlineStr">
        <is>
          <t>Verify authorization and update requester.</t>
        </is>
      </c>
    </row>
    <row r="3">
      <c r="A3" s="9" t="inlineStr">
        <is>
          <t>INC1002</t>
        </is>
      </c>
      <c r="B3" s="10" t="inlineStr">
        <is>
          <t>2026-10-26</t>
        </is>
      </c>
      <c r="C3" s="9" t="inlineStr">
        <is>
          <t>M. Chen</t>
        </is>
      </c>
      <c r="D3" s="9" t="inlineStr">
        <is>
          <t>Sales</t>
        </is>
      </c>
      <c r="E3" s="9" t="inlineStr">
        <is>
          <t>Hardware</t>
        </is>
      </c>
      <c r="F3" s="9" t="inlineStr">
        <is>
          <t>Laptop will not power on</t>
        </is>
      </c>
      <c r="G3" s="9" t="inlineStr">
        <is>
          <t>High</t>
        </is>
      </c>
      <c r="H3" s="9" t="inlineStr">
        <is>
          <t>High</t>
        </is>
      </c>
      <c r="I3" s="9">
        <f>IF(AND(G3="High",H3="High"),"P1 - Critical",IF(OR(AND(G3="High",H3="Medium"),AND(G3="Medium",H3="High")),"P2 - High",IF(OR(G3="Medium",H3="Medium"),"P3 - Normal","P4 - Low")))</f>
        <v/>
      </c>
      <c r="J3" s="9" t="inlineStr">
        <is>
          <t>Desktop Support</t>
        </is>
      </c>
      <c r="K3" s="9" t="inlineStr">
        <is>
          <t>New</t>
        </is>
      </c>
      <c r="L3" s="11" t="n">
        <v>4</v>
      </c>
      <c r="M3" s="11" t="n">
        <v>1</v>
      </c>
      <c r="N3" s="9">
        <f>IF(K3="Resolved","Resolved",IF(M3&gt;=L3,"Breached",IF(M3&gt;=L3*0.8,"At Risk","Within SLA")))</f>
        <v/>
      </c>
      <c r="O3" s="9" t="inlineStr">
        <is>
          <t>No diagnosis recorded yet.</t>
        </is>
      </c>
      <c r="P3" s="9" t="inlineStr">
        <is>
          <t>Confirm power adapter and indicator lights.</t>
        </is>
      </c>
    </row>
    <row r="4">
      <c r="A4" s="9" t="inlineStr">
        <is>
          <t>INC1003</t>
        </is>
      </c>
      <c r="B4" s="10" t="inlineStr">
        <is>
          <t>2026-10-26</t>
        </is>
      </c>
      <c r="C4" s="9" t="inlineStr">
        <is>
          <t>J. Singh</t>
        </is>
      </c>
      <c r="D4" s="9" t="inlineStr">
        <is>
          <t>HR</t>
        </is>
      </c>
      <c r="E4" s="9" t="inlineStr">
        <is>
          <t>Password Reset</t>
        </is>
      </c>
      <c r="F4" s="9" t="inlineStr">
        <is>
          <t>Locked out after multiple attempts</t>
        </is>
      </c>
      <c r="G4" s="9" t="inlineStr">
        <is>
          <t>Medium</t>
        </is>
      </c>
      <c r="H4" s="9" t="inlineStr">
        <is>
          <t>High</t>
        </is>
      </c>
      <c r="I4" s="9">
        <f>IF(AND(G4="High",H4="High"),"P1 - Critical",IF(OR(AND(G4="High",H4="Medium"),AND(G4="Medium",H4="High")),"P2 - High",IF(OR(G4="Medium",H4="Medium"),"P3 - Normal","P4 - Low")))</f>
        <v/>
      </c>
      <c r="J4" s="9" t="inlineStr">
        <is>
          <t>IT Support</t>
        </is>
      </c>
      <c r="K4" s="9" t="inlineStr">
        <is>
          <t>Resolved</t>
        </is>
      </c>
      <c r="L4" s="11" t="n">
        <v>8</v>
      </c>
      <c r="M4" s="11" t="n">
        <v>3</v>
      </c>
      <c r="N4" s="9">
        <f>IF(K4="Resolved","Resolved",IF(M4&gt;=L4,"Breached",IF(M4&gt;=L4*0.8,"At Risk","Within SLA")))</f>
        <v/>
      </c>
      <c r="O4" s="9" t="inlineStr">
        <is>
          <t>Identity verified; approved password reset completed.</t>
        </is>
      </c>
      <c r="P4" s="9" t="inlineStr">
        <is>
          <t>Confirm requester can sign in.</t>
        </is>
      </c>
    </row>
    <row r="5">
      <c r="A5" s="9" t="inlineStr">
        <is>
          <t>INC1004</t>
        </is>
      </c>
      <c r="B5" s="10" t="inlineStr">
        <is>
          <t>2026-10-25</t>
        </is>
      </c>
      <c r="C5" s="9" t="inlineStr">
        <is>
          <t>R. Wilson</t>
        </is>
      </c>
      <c r="D5" s="9" t="inlineStr">
        <is>
          <t>Operations</t>
        </is>
      </c>
      <c r="E5" s="9" t="inlineStr">
        <is>
          <t>Software</t>
        </is>
      </c>
      <c r="F5" s="9" t="inlineStr">
        <is>
          <t>Approved application fails to launch</t>
        </is>
      </c>
      <c r="G5" s="9" t="inlineStr">
        <is>
          <t>Medium</t>
        </is>
      </c>
      <c r="H5" s="9" t="inlineStr">
        <is>
          <t>Medium</t>
        </is>
      </c>
      <c r="I5" s="9">
        <f>IF(AND(G5="High",H5="High"),"P1 - Critical",IF(OR(AND(G5="High",H5="Medium"),AND(G5="Medium",H5="High")),"P2 - High",IF(OR(G5="Medium",H5="Medium"),"P3 - Normal","P4 - Low")))</f>
        <v/>
      </c>
      <c r="J5" s="9" t="inlineStr">
        <is>
          <t>Application Support</t>
        </is>
      </c>
      <c r="K5" s="9" t="inlineStr">
        <is>
          <t>In Progress</t>
        </is>
      </c>
      <c r="L5" s="11" t="n">
        <v>24</v>
      </c>
      <c r="M5" s="11" t="n">
        <v>12</v>
      </c>
      <c r="N5" s="9">
        <f>IF(K5="Resolved","Resolved",IF(M5&gt;=L5,"Breached",IF(M5&gt;=L5*0.8,"At Risk","Within SLA")))</f>
        <v/>
      </c>
      <c r="O5" s="9" t="inlineStr">
        <is>
          <t>Collecting error details and checking recent changes.</t>
        </is>
      </c>
      <c r="P5" s="9" t="inlineStr">
        <is>
          <t>Reproduce issue and record exact error.</t>
        </is>
      </c>
    </row>
    <row r="6">
      <c r="A6" s="9" t="inlineStr">
        <is>
          <t>INC1005</t>
        </is>
      </c>
      <c r="B6" s="10" t="inlineStr">
        <is>
          <t>2026-10-25</t>
        </is>
      </c>
      <c r="C6" s="9" t="inlineStr">
        <is>
          <t>L. Brown</t>
        </is>
      </c>
      <c r="D6" s="9" t="inlineStr">
        <is>
          <t>Finance</t>
        </is>
      </c>
      <c r="E6" s="9" t="inlineStr">
        <is>
          <t>Email</t>
        </is>
      </c>
      <c r="F6" s="9" t="inlineStr">
        <is>
          <t>Cannot send external email</t>
        </is>
      </c>
      <c r="G6" s="9" t="inlineStr">
        <is>
          <t>High</t>
        </is>
      </c>
      <c r="H6" s="9" t="inlineStr">
        <is>
          <t>Medium</t>
        </is>
      </c>
      <c r="I6" s="9">
        <f>IF(AND(G6="High",H6="High"),"P1 - Critical",IF(OR(AND(G6="High",H6="Medium"),AND(G6="Medium",H6="High")),"P2 - High",IF(OR(G6="Medium",H6="Medium"),"P3 - Normal","P4 - Low")))</f>
        <v/>
      </c>
      <c r="J6" s="9" t="inlineStr">
        <is>
          <t>Messaging Support</t>
        </is>
      </c>
      <c r="K6" s="9" t="inlineStr">
        <is>
          <t>New</t>
        </is>
      </c>
      <c r="L6" s="11" t="n">
        <v>8</v>
      </c>
      <c r="M6" s="11" t="n">
        <v>7</v>
      </c>
      <c r="N6" s="9">
        <f>IF(K6="Resolved","Resolved",IF(M6&gt;=L6,"Breached",IF(M6&gt;=L6*0.8,"At Risk","Within SLA")))</f>
        <v/>
      </c>
      <c r="O6" s="9" t="inlineStr">
        <is>
          <t>Customer reports external messages remain in Outbox.</t>
        </is>
      </c>
      <c r="P6" s="9" t="inlineStr">
        <is>
          <t>Check scope and message details; escalate if widespread.</t>
        </is>
      </c>
    </row>
    <row r="7">
      <c r="A7" s="9" t="inlineStr">
        <is>
          <t>INC1006</t>
        </is>
      </c>
      <c r="B7" s="10" t="inlineStr">
        <is>
          <t>2026-10-25</t>
        </is>
      </c>
      <c r="C7" s="9" t="inlineStr">
        <is>
          <t>S. Ahmed</t>
        </is>
      </c>
      <c r="D7" s="9" t="inlineStr">
        <is>
          <t>Marketing</t>
        </is>
      </c>
      <c r="E7" s="9" t="inlineStr">
        <is>
          <t>Access</t>
        </is>
      </c>
      <c r="F7" s="9" t="inlineStr">
        <is>
          <t>Request for access to marketing drive</t>
        </is>
      </c>
      <c r="G7" s="9" t="inlineStr">
        <is>
          <t>Low</t>
        </is>
      </c>
      <c r="H7" s="9" t="inlineStr">
        <is>
          <t>Low</t>
        </is>
      </c>
      <c r="I7" s="9">
        <f>IF(AND(G7="High",H7="High"),"P1 - Critical",IF(OR(AND(G7="High",H7="Medium"),AND(G7="Medium",H7="High")),"P2 - High",IF(OR(G7="Medium",H7="Medium"),"P3 - Normal","P4 - Low")))</f>
        <v/>
      </c>
      <c r="J7" s="9" t="inlineStr">
        <is>
          <t>IT Support</t>
        </is>
      </c>
      <c r="K7" s="9" t="inlineStr">
        <is>
          <t>New</t>
        </is>
      </c>
      <c r="L7" s="11" t="n">
        <v>48</v>
      </c>
      <c r="M7" s="11" t="n">
        <v>5</v>
      </c>
      <c r="N7" s="9">
        <f>IF(K7="Resolved","Resolved",IF(M7&gt;=L7,"Breached",IF(M7&gt;=L7*0.8,"At Risk","Within SLA")))</f>
        <v/>
      </c>
      <c r="O7" s="9" t="inlineStr">
        <is>
          <t>Approval not yet confirmed.</t>
        </is>
      </c>
      <c r="P7" s="9" t="inlineStr">
        <is>
          <t>Verify manager approval before granting access.</t>
        </is>
      </c>
    </row>
    <row r="8">
      <c r="A8" s="9" t="inlineStr">
        <is>
          <t>INC1007</t>
        </is>
      </c>
      <c r="B8" s="10" t="inlineStr">
        <is>
          <t>2026-10-24</t>
        </is>
      </c>
      <c r="C8" s="9" t="inlineStr">
        <is>
          <t>T. Garcia</t>
        </is>
      </c>
      <c r="D8" s="9" t="inlineStr">
        <is>
          <t>Operations</t>
        </is>
      </c>
      <c r="E8" s="9" t="inlineStr">
        <is>
          <t>Network</t>
        </is>
      </c>
      <c r="F8" s="9" t="inlineStr">
        <is>
          <t>Entire floor has no network connectivity</t>
        </is>
      </c>
      <c r="G8" s="9" t="inlineStr">
        <is>
          <t>High</t>
        </is>
      </c>
      <c r="H8" s="9" t="inlineStr">
        <is>
          <t>High</t>
        </is>
      </c>
      <c r="I8" s="9">
        <f>IF(AND(G8="High",H8="High"),"P1 - Critical",IF(OR(AND(G8="High",H8="Medium"),AND(G8="Medium",H8="High")),"P2 - High",IF(OR(G8="Medium",H8="Medium"),"P3 - Normal","P4 - Low")))</f>
        <v/>
      </c>
      <c r="J8" s="9" t="inlineStr">
        <is>
          <t>Network Support</t>
        </is>
      </c>
      <c r="K8" s="9" t="inlineStr">
        <is>
          <t>In Progress</t>
        </is>
      </c>
      <c r="L8" s="11" t="n">
        <v>4</v>
      </c>
      <c r="M8" s="11" t="n">
        <v>3</v>
      </c>
      <c r="N8" s="9">
        <f>IF(K8="Resolved","Resolved",IF(M8&gt;=L8,"Breached",IF(M8&gt;=L8*0.8,"At Risk","Within SLA")))</f>
        <v/>
      </c>
      <c r="O8" s="9" t="inlineStr">
        <is>
          <t>Multiple users affected; incident lead notified.</t>
        </is>
      </c>
      <c r="P8" s="9" t="inlineStr">
        <is>
          <t>Update impact and follow major-incident process.</t>
        </is>
      </c>
    </row>
    <row r="9">
      <c r="A9" s="9" t="inlineStr">
        <is>
          <t>INC1008</t>
        </is>
      </c>
      <c r="B9" s="10" t="inlineStr">
        <is>
          <t>2026-10-24</t>
        </is>
      </c>
      <c r="C9" s="9" t="inlineStr">
        <is>
          <t>P. Kumar</t>
        </is>
      </c>
      <c r="D9" s="9" t="inlineStr">
        <is>
          <t>HR</t>
        </is>
      </c>
      <c r="E9" s="9" t="inlineStr">
        <is>
          <t>Software</t>
        </is>
      </c>
      <c r="F9" s="9" t="inlineStr">
        <is>
          <t>Video meeting application crashes</t>
        </is>
      </c>
      <c r="G9" s="9" t="inlineStr">
        <is>
          <t>Medium</t>
        </is>
      </c>
      <c r="H9" s="9" t="inlineStr">
        <is>
          <t>Medium</t>
        </is>
      </c>
      <c r="I9" s="9">
        <f>IF(AND(G9="High",H9="High"),"P1 - Critical",IF(OR(AND(G9="High",H9="Medium"),AND(G9="Medium",H9="High")),"P2 - High",IF(OR(G9="Medium",H9="Medium"),"P3 - Normal","P4 - Low")))</f>
        <v/>
      </c>
      <c r="J9" s="9" t="inlineStr">
        <is>
          <t>Application Support</t>
        </is>
      </c>
      <c r="K9" s="9" t="inlineStr">
        <is>
          <t>Resolved</t>
        </is>
      </c>
      <c r="L9" s="11" t="n">
        <v>24</v>
      </c>
      <c r="M9" s="11" t="n">
        <v>9</v>
      </c>
      <c r="N9" s="9">
        <f>IF(K9="Resolved","Resolved",IF(M9&gt;=L9,"Breached",IF(M9&gt;=L9*0.8,"At Risk","Within SLA")))</f>
        <v/>
      </c>
      <c r="O9" s="9" t="inlineStr">
        <is>
          <t>Application cache cleared and tested with requester.</t>
        </is>
      </c>
      <c r="P9" s="9" t="inlineStr">
        <is>
          <t>Record resolution and close after confirmation.</t>
        </is>
      </c>
    </row>
    <row r="10">
      <c r="A10" s="9" t="inlineStr">
        <is>
          <t>INC1009</t>
        </is>
      </c>
      <c r="B10" s="10" t="inlineStr">
        <is>
          <t>2026-10-27</t>
        </is>
      </c>
      <c r="C10" s="9" t="inlineStr">
        <is>
          <t>N. Davis</t>
        </is>
      </c>
      <c r="D10" s="9" t="inlineStr">
        <is>
          <t>Sales</t>
        </is>
      </c>
      <c r="E10" s="9" t="inlineStr">
        <is>
          <t>Security</t>
        </is>
      </c>
      <c r="F10" s="9" t="inlineStr">
        <is>
          <t>Suspicious email reported by employee</t>
        </is>
      </c>
      <c r="G10" s="9" t="inlineStr">
        <is>
          <t>High</t>
        </is>
      </c>
      <c r="H10" s="9" t="inlineStr">
        <is>
          <t>High</t>
        </is>
      </c>
      <c r="I10" s="9">
        <f>IF(AND(G10="High",H10="High"),"P1 - Critical",IF(OR(AND(G10="High",H10="Medium"),AND(G10="Medium",H10="High")),"P2 - High",IF(OR(G10="Medium",H10="Medium"),"P3 - Normal","P4 - Low")))</f>
        <v/>
      </c>
      <c r="J10" s="9" t="inlineStr">
        <is>
          <t>Security Operations</t>
        </is>
      </c>
      <c r="K10" s="9" t="inlineStr">
        <is>
          <t>In Progress</t>
        </is>
      </c>
      <c r="L10" s="11" t="n">
        <v>4</v>
      </c>
      <c r="M10" s="11" t="n">
        <v>1</v>
      </c>
      <c r="N10" s="9">
        <f>IF(K10="Resolved","Resolved",IF(M10&gt;=L10,"Breached",IF(M10&gt;=L10*0.8,"At Risk","Within SLA")))</f>
        <v/>
      </c>
      <c r="O10" s="9" t="inlineStr">
        <is>
          <t>Reported message preserved; no links opened.</t>
        </is>
      </c>
      <c r="P10" s="9" t="inlineStr">
        <is>
          <t>Follow security incident process; do not investigate outside authorization.</t>
        </is>
      </c>
    </row>
    <row r="11">
      <c r="A11" s="9" t="inlineStr">
        <is>
          <t>INC1010</t>
        </is>
      </c>
      <c r="B11" s="10" t="inlineStr">
        <is>
          <t>2026-10-27</t>
        </is>
      </c>
      <c r="C11" s="9" t="inlineStr">
        <is>
          <t>K. Moore</t>
        </is>
      </c>
      <c r="D11" s="9" t="inlineStr">
        <is>
          <t>Finance</t>
        </is>
      </c>
      <c r="E11" s="9" t="inlineStr">
        <is>
          <t>Hardware</t>
        </is>
      </c>
      <c r="F11" s="9" t="inlineStr">
        <is>
          <t>Keyboard keys intermittently fail</t>
        </is>
      </c>
      <c r="G11" s="9" t="inlineStr">
        <is>
          <t>Low</t>
        </is>
      </c>
      <c r="H11" s="9" t="inlineStr">
        <is>
          <t>Low</t>
        </is>
      </c>
      <c r="I11" s="9">
        <f>IF(AND(G11="High",H11="High"),"P1 - Critical",IF(OR(AND(G11="High",H11="Medium"),AND(G11="Medium",H11="High")),"P2 - High",IF(OR(G11="Medium",H11="Medium"),"P3 - Normal","P4 - Low")))</f>
        <v/>
      </c>
      <c r="J11" s="9" t="inlineStr">
        <is>
          <t>Desktop Support</t>
        </is>
      </c>
      <c r="K11" s="9" t="inlineStr">
        <is>
          <t>New</t>
        </is>
      </c>
      <c r="L11" s="11" t="n">
        <v>48</v>
      </c>
      <c r="M11" s="11" t="n">
        <v>0</v>
      </c>
      <c r="N11" s="9">
        <f>IF(K11="Resolved","Resolved",IF(M11&gt;=L11,"Breached",IF(M11&gt;=L11*0.8,"At Risk","Within SLA")))</f>
        <v/>
      </c>
      <c r="O11" s="9" t="inlineStr">
        <is>
          <t>No troubleshooting performed yet.</t>
        </is>
      </c>
      <c r="P11" s="9" t="inlineStr">
        <is>
          <t>Run basic checks and arrange replacement if needed.</t>
        </is>
      </c>
    </row>
    <row r="12">
      <c r="A12" s="9" t="inlineStr">
        <is>
          <t>INC1011</t>
        </is>
      </c>
      <c r="B12" s="10" t="inlineStr">
        <is>
          <t>2026-10-27</t>
        </is>
      </c>
      <c r="C12" s="9" t="inlineStr">
        <is>
          <t>D. Martin</t>
        </is>
      </c>
      <c r="D12" s="9" t="inlineStr">
        <is>
          <t>Facilities</t>
        </is>
      </c>
      <c r="E12" s="9" t="inlineStr">
        <is>
          <t>CMMS / Work Order</t>
        </is>
      </c>
      <c r="F12" s="9" t="inlineStr">
        <is>
          <t>Technician cannot see assigned work order</t>
        </is>
      </c>
      <c r="G12" s="9" t="inlineStr">
        <is>
          <t>High</t>
        </is>
      </c>
      <c r="H12" s="9" t="inlineStr">
        <is>
          <t>High</t>
        </is>
      </c>
      <c r="I12" s="9">
        <f>IF(AND(G12="High",H12="High"),"P1 - Critical",IF(OR(AND(G12="High",H12="Medium"),AND(G12="Medium",H12="High")),"P2 - High",IF(OR(G12="Medium",H12="Medium"),"P3 - Normal","P4 - Low")))</f>
        <v/>
      </c>
      <c r="J12" s="9" t="inlineStr">
        <is>
          <t>Application Support</t>
        </is>
      </c>
      <c r="K12" s="9" t="inlineStr">
        <is>
          <t>New</t>
        </is>
      </c>
      <c r="L12" s="11" t="n">
        <v>4</v>
      </c>
      <c r="M12" s="11" t="n">
        <v>1</v>
      </c>
      <c r="N12" s="9">
        <f>IF(K12="Resolved","Resolved",IF(M12&gt;=L12,"Breached",IF(M12&gt;=L12*0.8,"At Risk","Within SLA")))</f>
        <v/>
      </c>
      <c r="O12" s="9" t="inlineStr">
        <is>
          <t>Manager can see order; technician cannot.</t>
        </is>
      </c>
      <c r="P12" s="9" t="inlineStr">
        <is>
          <t>Check assignment, account role, filters, and scope; escalate if unresolved.</t>
        </is>
      </c>
    </row>
    <row r="13">
      <c r="A13" s="9" t="inlineStr">
        <is>
          <t>INC1012</t>
        </is>
      </c>
      <c r="B13" s="10" t="inlineStr">
        <is>
          <t>2026-10-27</t>
        </is>
      </c>
      <c r="C13" s="9" t="inlineStr">
        <is>
          <t>R. Chen</t>
        </is>
      </c>
      <c r="D13" s="9" t="inlineStr">
        <is>
          <t>Facilities</t>
        </is>
      </c>
      <c r="E13" s="9" t="inlineStr">
        <is>
          <t>CMMS / Asset</t>
        </is>
      </c>
      <c r="F13" s="9" t="inlineStr">
        <is>
          <t>Asset record appears duplicated</t>
        </is>
      </c>
      <c r="G13" s="9" t="inlineStr">
        <is>
          <t>Medium</t>
        </is>
      </c>
      <c r="H13" s="9" t="inlineStr">
        <is>
          <t>Medium</t>
        </is>
      </c>
      <c r="I13" s="9">
        <f>IF(AND(G13="High",H13="High"),"P1 - Critical",IF(OR(AND(G13="High",H13="Medium"),AND(G13="Medium",H13="High")),"P2 - High",IF(OR(G13="Medium",H13="Medium"),"P3 - Normal","P4 - Low")))</f>
        <v/>
      </c>
      <c r="J13" s="9" t="inlineStr">
        <is>
          <t>Application Support</t>
        </is>
      </c>
      <c r="K13" s="9" t="inlineStr">
        <is>
          <t>New</t>
        </is>
      </c>
      <c r="L13" s="11" t="n">
        <v>24</v>
      </c>
      <c r="M13" s="11" t="n">
        <v>2</v>
      </c>
      <c r="N13" s="9">
        <f>IF(K13="Resolved","Resolved",IF(M13&gt;=L13,"Breached",IF(M13&gt;=L13*0.8,"At Risk","Within SLA")))</f>
        <v/>
      </c>
      <c r="O13" s="9" t="inlineStr">
        <is>
          <t>User supplied two asset IDs for comparison.</t>
        </is>
      </c>
      <c r="P13" s="9" t="inlineStr">
        <is>
          <t>Verify record identifiers; do not delete records without approval.</t>
        </is>
      </c>
    </row>
  </sheetData>
  <autoFilter ref="A1:P13"/>
  <conditionalFormatting sqref="N2:N13">
    <cfRule type="expression" priority="1" dxfId="0">
      <formula>N2="Breached"</formula>
    </cfRule>
    <cfRule type="expression" priority="2" dxfId="1">
      <formula>N2="At Risk"</formula>
    </cfRule>
    <cfRule type="expression" priority="3" dxfId="2">
      <formula>N2="Within SLA"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55" customWidth="1" min="3" max="3"/>
    <col width="70" customWidth="1" min="4" max="4"/>
  </cols>
  <sheetData>
    <row r="1" ht="30" customHeight="1">
      <c r="A1" s="8" t="inlineStr">
        <is>
          <t>Rule Area</t>
        </is>
      </c>
      <c r="B1" s="8" t="inlineStr">
        <is>
          <t>Condition / Logic</t>
        </is>
      </c>
      <c r="C1" s="8" t="inlineStr">
        <is>
          <t>Action / Expected Result</t>
        </is>
      </c>
      <c r="D1" s="8" t="inlineStr">
        <is>
          <t>Notes</t>
        </is>
      </c>
    </row>
    <row r="2">
      <c r="A2" s="9" t="inlineStr">
        <is>
          <t>Priority</t>
        </is>
      </c>
      <c r="B2" s="9" t="inlineStr">
        <is>
          <t>Impact=High AND Urgency=High</t>
        </is>
      </c>
      <c r="C2" s="9" t="inlineStr">
        <is>
          <t>P1 - Critical</t>
        </is>
      </c>
      <c r="D2" s="9" t="inlineStr">
        <is>
          <t>Illustrative portfolio rule only; actual organization policy takes precedence.</t>
        </is>
      </c>
    </row>
    <row r="3">
      <c r="A3" s="9" t="inlineStr">
        <is>
          <t>Priority</t>
        </is>
      </c>
      <c r="B3" s="9" t="inlineStr">
        <is>
          <t>Impact=High AND Urgency=Medium OR Impact=Medium AND Urgency=High</t>
        </is>
      </c>
      <c r="C3" s="9" t="inlineStr">
        <is>
          <t>P2 - High</t>
        </is>
      </c>
      <c r="D3" s="9" t="inlineStr">
        <is>
          <t>Apply only after validating impact and urgency.</t>
        </is>
      </c>
    </row>
    <row r="4">
      <c r="A4" s="9" t="inlineStr">
        <is>
          <t>Priority</t>
        </is>
      </c>
      <c r="B4" s="9" t="inlineStr">
        <is>
          <t>At least one of Impact/Urgency is Medium, and not P1/P2</t>
        </is>
      </c>
      <c r="C4" s="9" t="inlineStr">
        <is>
          <t>P3 - Normal</t>
        </is>
      </c>
      <c r="D4" s="9" t="inlineStr">
        <is>
          <t>Use the formula in the tracker.</t>
        </is>
      </c>
    </row>
    <row r="5">
      <c r="A5" s="9" t="inlineStr">
        <is>
          <t>Priority</t>
        </is>
      </c>
      <c r="B5" s="9" t="inlineStr">
        <is>
          <t>Impact=Low AND Urgency=Low</t>
        </is>
      </c>
      <c r="C5" s="9" t="inlineStr">
        <is>
          <t>P4 - Low</t>
        </is>
      </c>
      <c r="D5" s="9" t="inlineStr">
        <is>
          <t>Normal queue, subject to business policy.</t>
        </is>
      </c>
    </row>
    <row r="6">
      <c r="A6" s="9" t="inlineStr">
        <is>
          <t>SLA</t>
        </is>
      </c>
      <c r="B6" s="9" t="inlineStr">
        <is>
          <t>Open ticket reaches 80% of SLA target</t>
        </is>
      </c>
      <c r="C6" s="9" t="inlineStr">
        <is>
          <t>At Risk</t>
        </is>
      </c>
      <c r="D6" s="9" t="inlineStr">
        <is>
          <t>Notify assigned team/lead according to policy; this workbook flags status only.</t>
        </is>
      </c>
    </row>
    <row r="7">
      <c r="A7" s="9" t="inlineStr">
        <is>
          <t>SLA</t>
        </is>
      </c>
      <c r="B7" s="9" t="inlineStr">
        <is>
          <t>Open ticket reaches or exceeds SLA target</t>
        </is>
      </c>
      <c r="C7" s="9" t="inlineStr">
        <is>
          <t>Breached</t>
        </is>
      </c>
      <c r="D7" s="9" t="inlineStr">
        <is>
          <t>Escalate and record recovery plan; workbook does not send notifications.</t>
        </is>
      </c>
    </row>
    <row r="8">
      <c r="A8" s="9" t="inlineStr">
        <is>
          <t>Security</t>
        </is>
      </c>
      <c r="B8" s="9" t="inlineStr">
        <is>
          <t>Issue Type=Security</t>
        </is>
      </c>
      <c r="C8" s="9" t="inlineStr">
        <is>
          <t>Follow security incident process</t>
        </is>
      </c>
      <c r="D8" s="9" t="inlineStr">
        <is>
          <t>Preserve evidence, avoid suspicious links, and follow authorized procedures.</t>
        </is>
      </c>
    </row>
    <row r="9">
      <c r="A9" s="9" t="inlineStr">
        <is>
          <t>Access</t>
        </is>
      </c>
      <c r="B9" s="9" t="inlineStr">
        <is>
          <t>Access request</t>
        </is>
      </c>
      <c r="C9" s="9" t="inlineStr">
        <is>
          <t>Verify approval and least privilege</t>
        </is>
      </c>
      <c r="D9" s="9" t="inlineStr">
        <is>
          <t>Never grant access based only on an informal request.</t>
        </is>
      </c>
    </row>
    <row r="10">
      <c r="A10" s="9" t="inlineStr">
        <is>
          <t>Escalation</t>
        </is>
      </c>
      <c r="B10" s="9" t="inlineStr">
        <is>
          <t>Issue persists after approved basic checks or requires privileged access</t>
        </is>
      </c>
      <c r="C10" s="9" t="inlineStr">
        <is>
          <t>Escalate with reproduction steps and evidence</t>
        </is>
      </c>
      <c r="D10" s="9" t="inlineStr">
        <is>
          <t>Do not change production settings without authorization.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60" customWidth="1" min="4" max="4"/>
    <col width="30" customWidth="1" min="5" max="5"/>
    <col width="15" customWidth="1" min="6" max="6"/>
    <col width="42" customWidth="1" min="7" max="7"/>
  </cols>
  <sheetData>
    <row r="1">
      <c r="A1" s="8" t="inlineStr">
        <is>
          <t>Test ID</t>
        </is>
      </c>
      <c r="B1" s="8" t="inlineStr">
        <is>
          <t>Scenario</t>
        </is>
      </c>
      <c r="C1" s="8" t="inlineStr">
        <is>
          <t>Input</t>
        </is>
      </c>
      <c r="D1" s="8" t="inlineStr">
        <is>
          <t>Expected Result</t>
        </is>
      </c>
      <c r="E1" s="8" t="inlineStr">
        <is>
          <t>Observed Result</t>
        </is>
      </c>
      <c r="F1" s="8" t="inlineStr">
        <is>
          <t>Pass/Fail</t>
        </is>
      </c>
      <c r="G1" s="8" t="inlineStr">
        <is>
          <t>Notes</t>
        </is>
      </c>
    </row>
    <row r="2">
      <c r="A2" s="9" t="inlineStr">
        <is>
          <t>TC-01</t>
        </is>
      </c>
      <c r="B2" s="9" t="inlineStr">
        <is>
          <t>High impact + high urgency</t>
        </is>
      </c>
      <c r="C2" s="9" t="inlineStr">
        <is>
          <t>Impact=High; Urgency=High</t>
        </is>
      </c>
      <c r="D2" s="9" t="inlineStr">
        <is>
          <t>Priority formula returns P1 - Critical</t>
        </is>
      </c>
      <c r="E2" s="9" t="inlineStr"/>
      <c r="F2" s="9" t="inlineStr"/>
      <c r="G2" s="9" t="inlineStr"/>
    </row>
    <row r="3">
      <c r="A3" s="9" t="inlineStr">
        <is>
          <t>TC-02</t>
        </is>
      </c>
      <c r="B3" s="9" t="inlineStr">
        <is>
          <t>High impact + medium urgency</t>
        </is>
      </c>
      <c r="C3" s="9" t="inlineStr">
        <is>
          <t>Impact=High; Urgency=Medium</t>
        </is>
      </c>
      <c r="D3" s="9" t="inlineStr">
        <is>
          <t>Priority formula returns P2 - High</t>
        </is>
      </c>
      <c r="E3" s="9" t="inlineStr"/>
      <c r="F3" s="9" t="inlineStr"/>
      <c r="G3" s="9" t="inlineStr"/>
    </row>
    <row r="4">
      <c r="A4" s="9" t="inlineStr">
        <is>
          <t>TC-03</t>
        </is>
      </c>
      <c r="B4" s="9" t="inlineStr">
        <is>
          <t>Low impact + low urgency</t>
        </is>
      </c>
      <c r="C4" s="9" t="inlineStr">
        <is>
          <t>Impact=Low; Urgency=Low</t>
        </is>
      </c>
      <c r="D4" s="9" t="inlineStr">
        <is>
          <t>Priority formula returns P4 - Low</t>
        </is>
      </c>
      <c r="E4" s="9" t="inlineStr"/>
      <c r="F4" s="9" t="inlineStr"/>
      <c r="G4" s="9" t="inlineStr"/>
    </row>
    <row r="5">
      <c r="A5" s="9" t="inlineStr">
        <is>
          <t>TC-04</t>
        </is>
      </c>
      <c r="B5" s="9" t="inlineStr">
        <is>
          <t>Open ticket at 85% SLA</t>
        </is>
      </c>
      <c r="C5" s="9" t="inlineStr">
        <is>
          <t>Hours Open = 0.85 × SLA Target</t>
        </is>
      </c>
      <c r="D5" s="9" t="inlineStr">
        <is>
          <t>SLA Status = At Risk</t>
        </is>
      </c>
      <c r="E5" s="9" t="inlineStr"/>
      <c r="F5" s="9" t="inlineStr"/>
      <c r="G5" s="9" t="inlineStr"/>
    </row>
    <row r="6">
      <c r="A6" s="9" t="inlineStr">
        <is>
          <t>TC-05</t>
        </is>
      </c>
      <c r="B6" s="9" t="inlineStr">
        <is>
          <t>Open ticket at/over SLA</t>
        </is>
      </c>
      <c r="C6" s="9" t="inlineStr">
        <is>
          <t>Hours Open &gt;= SLA Target</t>
        </is>
      </c>
      <c r="D6" s="9" t="inlineStr">
        <is>
          <t>SLA Status = Breached</t>
        </is>
      </c>
      <c r="E6" s="9" t="inlineStr"/>
      <c r="F6" s="9" t="inlineStr"/>
      <c r="G6" s="9" t="inlineStr"/>
    </row>
    <row r="7">
      <c r="A7" s="9" t="inlineStr">
        <is>
          <t>TC-06</t>
        </is>
      </c>
      <c r="B7" s="9" t="inlineStr">
        <is>
          <t>Resolved ticket over SLA target</t>
        </is>
      </c>
      <c r="C7" s="9" t="inlineStr">
        <is>
          <t>Status=Resolved</t>
        </is>
      </c>
      <c r="D7" s="9" t="inlineStr">
        <is>
          <t>SLA Status = Resolved</t>
        </is>
      </c>
      <c r="E7" s="9" t="inlineStr"/>
      <c r="F7" s="9" t="inlineStr"/>
      <c r="G7" s="9" t="inlineStr"/>
    </row>
    <row r="8">
      <c r="A8" s="9" t="inlineStr">
        <is>
          <t>TC-07</t>
        </is>
      </c>
      <c r="B8" s="9" t="inlineStr">
        <is>
          <t>Access request lacks approval</t>
        </is>
      </c>
      <c r="C8" s="9" t="inlineStr">
        <is>
          <t>Access request, approval not confirmed</t>
        </is>
      </c>
      <c r="D8" s="9" t="inlineStr">
        <is>
          <t>Do not grant access; verify approval</t>
        </is>
      </c>
      <c r="E8" s="9" t="inlineStr"/>
      <c r="F8" s="9" t="inlineStr"/>
      <c r="G8" s="9" t="inlineStr"/>
    </row>
    <row r="9">
      <c r="A9" s="9" t="inlineStr">
        <is>
          <t>TC-08</t>
        </is>
      </c>
      <c r="B9" s="9" t="inlineStr">
        <is>
          <t>Security concern</t>
        </is>
      </c>
      <c r="C9" s="9" t="inlineStr">
        <is>
          <t>Issue Type=Security</t>
        </is>
      </c>
      <c r="D9" s="9" t="inlineStr">
        <is>
          <t>Follow security incident process; don't click suspicious links</t>
        </is>
      </c>
      <c r="E9" s="9" t="inlineStr"/>
      <c r="F9" s="9" t="inlineStr"/>
      <c r="G9" s="9" t="inlineStr"/>
    </row>
    <row r="10">
      <c r="A10" s="9" t="inlineStr">
        <is>
          <t>TC-09</t>
        </is>
      </c>
      <c r="B10" s="9" t="inlineStr">
        <is>
          <t>Work order not visible to technician</t>
        </is>
      </c>
      <c r="C10" s="9" t="inlineStr">
        <is>
          <t>Manager can see; technician cannot</t>
        </is>
      </c>
      <c r="D10" s="9" t="inlineStr">
        <is>
          <t>Check assignment, role, filters; document and escalate if unresolved</t>
        </is>
      </c>
      <c r="E10" s="9" t="inlineStr"/>
      <c r="F10" s="9" t="inlineStr"/>
      <c r="G10" s="9" t="inlineStr"/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2026-10-28T22:01:21Z</dcterms:created>
  <dcterms:modified xmlns:dcterms="http://purl.org/dc/terms/" xmlns:xsi="http://www.w3.org/2001/XMLSchema-instance" xsi:type="dcterms:W3CDTF">2026-10-28T22:01:21Z</dcterms:modified>
</cp:coreProperties>
</file>