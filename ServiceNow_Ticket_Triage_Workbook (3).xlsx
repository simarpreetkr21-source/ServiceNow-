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mc:AlternateContent xmlns:mc="http://schemas.openxmlformats.org/markup-compatibility/2006">
    <mc:Choice Requires="x15">
      <x15ac:absPath xmlns:x15ac="http://schemas.microsoft.com/office/spreadsheetml/2010/11/ac" url="D:\working\waccache\TO1PEPF0003027F\EXCELCNV\6ed06887-e8b4-44e1-a558-1c1baa778e7a\"/>
    </mc:Choice>
  </mc:AlternateContent>
  <xr:revisionPtr revIDLastSave="0" documentId="8_{82DF9320-72E4-43D4-B8A4-141017A557FF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ummary" sheetId="1" r:id="rId1"/>
    <sheet name="Ticket Tracker" sheetId="2" r:id="rId2"/>
    <sheet name="Triage Rules" sheetId="3" r:id="rId3"/>
    <sheet name="Test Cases" sheetId="4" r:id="rId4"/>
  </sheets>
  <definedNames>
    <definedName name="_xlnm._FilterDatabase" localSheetId="3" hidden="1">'Test Cases'!$A$1:$G$10</definedName>
    <definedName name="_xlnm._FilterDatabase" localSheetId="1" hidden="1">'Ticket Tracker'!$A$1:$P$13</definedName>
    <definedName name="_xlnm._FilterDatabase" localSheetId="2" hidden="1">'Triage Rules'!$A$1:$D$10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2" l="1"/>
  <c r="I13" i="2"/>
  <c r="N12" i="2"/>
  <c r="I12" i="2"/>
  <c r="N11" i="2"/>
  <c r="I11" i="2"/>
  <c r="N10" i="2"/>
  <c r="I10" i="2"/>
  <c r="N9" i="2"/>
  <c r="I9" i="2"/>
  <c r="N8" i="2"/>
  <c r="I8" i="2"/>
  <c r="N7" i="2"/>
  <c r="I7" i="2"/>
  <c r="N6" i="2"/>
  <c r="I6" i="2"/>
  <c r="N5" i="2"/>
  <c r="I5" i="2"/>
  <c r="N4" i="2"/>
  <c r="I4" i="2"/>
  <c r="N3" i="2"/>
  <c r="I3" i="2"/>
  <c r="N2" i="2"/>
  <c r="I2" i="2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<sst xmlns="http://schemas.openxmlformats.org/spreadsheetml/2006/main" count="258" uniqueCount="194">
  <si>
    <t>Service Desk Ticket Triage — Portfolio Summary</t>
  </si>
  <si>
    <t>Illustrative sample data only. This is not a live ServiceNow instance.</t>
  </si>
  <si>
    <t>Metric</t>
  </si>
  <si>
    <t>Formula / Value</t>
  </si>
  <si>
    <t>Total sample tickets</t>
  </si>
  <si>
    <t>Open / in progress</t>
  </si>
  <si>
    <t>P1 - Critical</t>
  </si>
  <si>
    <t>SLA breached</t>
  </si>
  <si>
    <t>SLA at risk</t>
  </si>
  <si>
    <t>Resolved</t>
  </si>
  <si>
    <t>How to use</t>
  </si>
  <si>
    <t>1. Review Ticket Tracker; change fictional values to test the formulas.</t>
  </si>
  <si>
    <t>2. Review Triage Rules to explain the logic and limits.</t>
  </si>
  <si>
    <t>3. Confirm formulas recalculate in Excel or Google Sheets after import.</t>
  </si>
  <si>
    <t>4. No real tickets, notifications, approvals, or ServiceNow records are created.</t>
  </si>
  <si>
    <t>Ticket ID</t>
  </si>
  <si>
    <t>Date Opened</t>
  </si>
  <si>
    <t>Requester</t>
  </si>
  <si>
    <t>Department</t>
  </si>
  <si>
    <t>Issue Type</t>
  </si>
  <si>
    <t>Short Description</t>
  </si>
  <si>
    <t>Impact</t>
  </si>
  <si>
    <t>Urgency</t>
  </si>
  <si>
    <t>Priority</t>
  </si>
  <si>
    <t>Assigned Team</t>
  </si>
  <si>
    <t>Status</t>
  </si>
  <si>
    <t>SLA Target (Hours)</t>
  </si>
  <si>
    <t>Hours Open</t>
  </si>
  <si>
    <t>SLA Status</t>
  </si>
  <si>
    <t>Troubleshooting / Resolution Notes</t>
  </si>
  <si>
    <t>Next Action</t>
  </si>
  <si>
    <t>INC1001</t>
  </si>
  <si>
    <t>2026-10-26</t>
  </si>
  <si>
    <t>A. Patel</t>
  </si>
  <si>
    <t>Finance</t>
  </si>
  <si>
    <t>Access</t>
  </si>
  <si>
    <t>Cannot access finance shared folder</t>
  </si>
  <si>
    <t>High</t>
  </si>
  <si>
    <t>IT Support</t>
  </si>
  <si>
    <t>In Progress</t>
  </si>
  <si>
    <t>Checking approved group membership.</t>
  </si>
  <si>
    <t>Verify authorization and update requester.</t>
  </si>
  <si>
    <t>INC1002</t>
  </si>
  <si>
    <t>M. Chen</t>
  </si>
  <si>
    <t>Sales</t>
  </si>
  <si>
    <t>Hardware</t>
  </si>
  <si>
    <t>Laptop will not power on</t>
  </si>
  <si>
    <t>Desktop Support</t>
  </si>
  <si>
    <t>New</t>
  </si>
  <si>
    <t>No diagnosis recorded yet.</t>
  </si>
  <si>
    <t>Confirm power adapter and indicator lights.</t>
  </si>
  <si>
    <t>INC1003</t>
  </si>
  <si>
    <t>J. Singh</t>
  </si>
  <si>
    <t>HR</t>
  </si>
  <si>
    <t>Password Reset</t>
  </si>
  <si>
    <t>Locked out after multiple attempts</t>
  </si>
  <si>
    <t>Medium</t>
  </si>
  <si>
    <t>Identity verified; approved password reset completed.</t>
  </si>
  <si>
    <t>Confirm requester can sign in.</t>
  </si>
  <si>
    <t>INC1004</t>
  </si>
  <si>
    <t>2026-10-25</t>
  </si>
  <si>
    <t>R. Wilson</t>
  </si>
  <si>
    <t>Operations</t>
  </si>
  <si>
    <t>Software</t>
  </si>
  <si>
    <t>Approved application fails to launch</t>
  </si>
  <si>
    <t>Application Support</t>
  </si>
  <si>
    <t>Collecting error details and checking recent changes.</t>
  </si>
  <si>
    <t>Reproduce issue and record exact error.</t>
  </si>
  <si>
    <t>INC1005</t>
  </si>
  <si>
    <t>L. Brown</t>
  </si>
  <si>
    <t>Email</t>
  </si>
  <si>
    <t>Cannot send external email</t>
  </si>
  <si>
    <t>Messaging Support</t>
  </si>
  <si>
    <t>Customer reports external messages remain in Outbox.</t>
  </si>
  <si>
    <t>Check scope and message details; escalate if widespread.</t>
  </si>
  <si>
    <t>INC1006</t>
  </si>
  <si>
    <t>S. Ahmed</t>
  </si>
  <si>
    <t>Marketing</t>
  </si>
  <si>
    <t>Request for access to marketing drive</t>
  </si>
  <si>
    <t>Low</t>
  </si>
  <si>
    <t>Approval not yet confirmed.</t>
  </si>
  <si>
    <t>Verify manager approval before granting access.</t>
  </si>
  <si>
    <t>INC1007</t>
  </si>
  <si>
    <t>2026-10-24</t>
  </si>
  <si>
    <t>T. Garcia</t>
  </si>
  <si>
    <t>Network</t>
  </si>
  <si>
    <t>Entire floor has no network connectivity</t>
  </si>
  <si>
    <t>Network Support</t>
  </si>
  <si>
    <t>Multiple users affected; incident lead notified.</t>
  </si>
  <si>
    <t>Update impact and follow major-incident process.</t>
  </si>
  <si>
    <t>INC1008</t>
  </si>
  <si>
    <t>P. Kumar</t>
  </si>
  <si>
    <t>Video meeting application crashes</t>
  </si>
  <si>
    <t>Application cache cleared and tested with requester.</t>
  </si>
  <si>
    <t>Record resolution and close after confirmation.</t>
  </si>
  <si>
    <t>INC1009</t>
  </si>
  <si>
    <t>2026-10-27</t>
  </si>
  <si>
    <t>N. Davis</t>
  </si>
  <si>
    <t>Security</t>
  </si>
  <si>
    <t>Suspicious email reported by employee</t>
  </si>
  <si>
    <t>Security Operations</t>
  </si>
  <si>
    <t>Reported message preserved; no links opened.</t>
  </si>
  <si>
    <t>Follow security incident process; do not investigate outside authorization.</t>
  </si>
  <si>
    <t>INC1010</t>
  </si>
  <si>
    <t>K. Moore</t>
  </si>
  <si>
    <t>Keyboard keys intermittently fail</t>
  </si>
  <si>
    <t>No troubleshooting performed yet.</t>
  </si>
  <si>
    <t>Run basic checks and arrange replacement if needed.</t>
  </si>
  <si>
    <t>INC1011</t>
  </si>
  <si>
    <t>D. Martin</t>
  </si>
  <si>
    <t>Facilities</t>
  </si>
  <si>
    <t>CMMS / Work Order</t>
  </si>
  <si>
    <t>Technician cannot see assigned work order</t>
  </si>
  <si>
    <t>Manager can see order; technician cannot.</t>
  </si>
  <si>
    <t>Check assignment, account role, filters, and scope; escalate if unresolved.</t>
  </si>
  <si>
    <t>INC1012</t>
  </si>
  <si>
    <t>R. Chen</t>
  </si>
  <si>
    <t>CMMS / Asset</t>
  </si>
  <si>
    <t>Asset record appears duplicated</t>
  </si>
  <si>
    <t>User supplied two asset IDs for comparison.</t>
  </si>
  <si>
    <t>Verify record identifiers; do not delete records without approval.</t>
  </si>
  <si>
    <t>Rule Area</t>
  </si>
  <si>
    <t>Condition / Logic</t>
  </si>
  <si>
    <t>Action / Expected Result</t>
  </si>
  <si>
    <t>Notes</t>
  </si>
  <si>
    <t>Impact=High AND Urgency=High</t>
  </si>
  <si>
    <t>Illustrative portfolio rule only; actual organization policy takes precedence.</t>
  </si>
  <si>
    <t>Impact=High AND Urgency=Medium OR Impact=Medium AND Urgency=High</t>
  </si>
  <si>
    <t>P2 - High</t>
  </si>
  <si>
    <t>Apply only after validating impact and urgency.</t>
  </si>
  <si>
    <t>At least one of Impact/Urgency is Medium, and not P1/P2</t>
  </si>
  <si>
    <t>P3 - Normal</t>
  </si>
  <si>
    <t>Use the formula in the tracker.</t>
  </si>
  <si>
    <t>Impact=Low AND Urgency=Low</t>
  </si>
  <si>
    <t>P4 - Low</t>
  </si>
  <si>
    <t>Normal queue, subject to business policy.</t>
  </si>
  <si>
    <t>SLA</t>
  </si>
  <si>
    <t>Open ticket reaches 80% of SLA target</t>
  </si>
  <si>
    <t>At Risk</t>
  </si>
  <si>
    <t>Notify assigned team/lead according to policy; this workbook flags status only.</t>
  </si>
  <si>
    <t>Open ticket reaches or exceeds SLA target</t>
  </si>
  <si>
    <t>Breached</t>
  </si>
  <si>
    <t>Escalate and record recovery plan; workbook does not send notifications.</t>
  </si>
  <si>
    <t>Issue Type=Security</t>
  </si>
  <si>
    <t>Follow security incident process</t>
  </si>
  <si>
    <t>Preserve evidence, avoid suspicious links, and follow authorized procedures.</t>
  </si>
  <si>
    <t>Access request</t>
  </si>
  <si>
    <t>Verify approval and least privilege</t>
  </si>
  <si>
    <t>Never grant access based only on an informal request.</t>
  </si>
  <si>
    <t>Escalation</t>
  </si>
  <si>
    <t>Issue persists after approved basic checks or requires privileged access</t>
  </si>
  <si>
    <t>Escalate with reproduction steps and evidence</t>
  </si>
  <si>
    <t>Do not change production settings without authorization.</t>
  </si>
  <si>
    <t>Test ID</t>
  </si>
  <si>
    <t>Scenario</t>
  </si>
  <si>
    <t>Input</t>
  </si>
  <si>
    <t>Expected Result</t>
  </si>
  <si>
    <t>Observed Result</t>
  </si>
  <si>
    <t>Pass/Fail</t>
  </si>
  <si>
    <t>TC-01</t>
  </si>
  <si>
    <t>High impact + high urgency</t>
  </si>
  <si>
    <t>Impact=High; Urgency=High</t>
  </si>
  <si>
    <t>Priority formula returns P1 - Critical</t>
  </si>
  <si>
    <t>TC-02</t>
  </si>
  <si>
    <t>High impact + medium urgency</t>
  </si>
  <si>
    <t>Impact=High; Urgency=Medium</t>
  </si>
  <si>
    <t>Priority formula returns P2 - High</t>
  </si>
  <si>
    <t>TC-03</t>
  </si>
  <si>
    <t>Low impact + low urgency</t>
  </si>
  <si>
    <t>Impact=Low; Urgency=Low</t>
  </si>
  <si>
    <t>Priority formula returns P4 - Low</t>
  </si>
  <si>
    <t>TC-04</t>
  </si>
  <si>
    <t>Open ticket at 85% SLA</t>
  </si>
  <si>
    <t>Hours Open = 0.85 × SLA Target</t>
  </si>
  <si>
    <t>SLA Status = At Risk</t>
  </si>
  <si>
    <t>TC-05</t>
  </si>
  <si>
    <t>Open ticket at/over SLA</t>
  </si>
  <si>
    <t>Hours Open &gt;= SLA Target</t>
  </si>
  <si>
    <t>SLA Status = Breached</t>
  </si>
  <si>
    <t>TC-06</t>
  </si>
  <si>
    <t>Resolved ticket over SLA target</t>
  </si>
  <si>
    <t>Status=Resolved</t>
  </si>
  <si>
    <t>SLA Status = Resolved</t>
  </si>
  <si>
    <t>TC-07</t>
  </si>
  <si>
    <t>Access request lacks approval</t>
  </si>
  <si>
    <t>Access request, approval not confirmed</t>
  </si>
  <si>
    <t>Do not grant access; verify approval</t>
  </si>
  <si>
    <t>TC-08</t>
  </si>
  <si>
    <t>Security concern</t>
  </si>
  <si>
    <t>Follow security incident process; don't click suspicious links</t>
  </si>
  <si>
    <t>TC-09</t>
  </si>
  <si>
    <t>Work order not visible to technician</t>
  </si>
  <si>
    <t>Manager can see; technician cannot</t>
  </si>
  <si>
    <t>Check assignment, role, filters; document and escalate if unresolved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</si>
</sst>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9C0006"/>
      <name val="Calibri"/>
    </font>
    <font>
      <b/>
      <sz val="11"/>
      <name val="Calibri"/>
    </font>
    <font>
      <sz val="12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4472C4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/>
    <xf numFmtId="0" fontId="4" fillId="0" borderId="0" xfId="0" applyFont="1"/>
    <xf numFmtId="0" fontId="5" fillId="4" borderId="0" xfId="0" applyFont="1" applyFill="1"/>
    <xf numFmtId="0" fontId="6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0" fontId="2" fillId="2" borderId="0" xfId="0" applyFont="1" applyFill="1" applyAlignment="1"/>
    <xf numFmtId="0" fontId="0" fillId="0" borderId="0" xfId="0" applyAlignment="1"/>
    <xf numFmtId="0" fontId="3" fillId="0" borderId="0" xfId="0" applyFont="1" applyAlignment="1"/>
  </cellXfs>
  <cellStyles count="1">
    <cellStyle name="Normal" xfId="0" builtinId="0"/>
  </cellStyles>
  <dxfs count="3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pane ySplit="2" topLeftCell="A3" activePane="bottomLeft" state="frozen"/>
      <selection pane="bottomLeft" sqref="A1:D1"/>
    </sheetView>
  </sheetViews>
  <sheetFormatPr defaultRowHeight="15"/>
  <cols>
    <col min="1" max="1" width="30" customWidth="1"/>
    <col min="2" max="2" width="32" customWidth="1"/>
  </cols>
  <sheetData>
    <row r="1" spans="1:4" ht="21">
      <c r="A1" s="10" t="s">
        <v>0</v>
      </c>
      <c r="B1" s="11"/>
      <c r="C1" s="11"/>
      <c r="D1" s="11"/>
    </row>
    <row r="2" spans="1:4">
      <c r="A2" s="12" t="s">
        <v>1</v>
      </c>
      <c r="B2" s="11"/>
      <c r="C2" s="11"/>
      <c r="D2" s="11"/>
    </row>
    <row r="3" spans="1:4">
      <c r="A3" s="1" t="s">
        <v>2</v>
      </c>
      <c r="B3" s="1" t="s">
        <v>3</v>
      </c>
      <c r="C3" s="1"/>
      <c r="D3" s="1"/>
    </row>
    <row r="4" spans="1:4" ht="15.75">
      <c r="A4" s="2" t="s">
        <v>4</v>
      </c>
      <c r="B4" s="3">
        <f>COUNTA('Ticket Tracker'!A2:A13)</f>
        <v>12</v>
      </c>
    </row>
    <row r="5" spans="1:4" ht="15.75">
      <c r="A5" s="2" t="s">
        <v>5</v>
      </c>
      <c r="B5" s="3">
        <f>COUNTIF('Ticket Tracker'!K2:K13,"&lt;&gt;Resolved")</f>
        <v>10</v>
      </c>
    </row>
    <row r="6" spans="1:4" ht="15.75">
      <c r="A6" s="2" t="s">
        <v>6</v>
      </c>
      <c r="B6" s="3">
        <f>COUNTIF('Ticket Tracker'!I2:I13,"P1 - Critical")</f>
        <v>5</v>
      </c>
    </row>
    <row r="7" spans="1:4" ht="15.75">
      <c r="A7" s="2" t="s">
        <v>7</v>
      </c>
      <c r="B7" s="3">
        <f>COUNTIF('Ticket Tracker'!N2:N13,"Breached")</f>
        <v>0</v>
      </c>
    </row>
    <row r="8" spans="1:4" ht="15.75">
      <c r="A8" s="2" t="s">
        <v>8</v>
      </c>
      <c r="B8" s="3">
        <f>COUNTIF('Ticket Tracker'!N2:N13,"At Risk")</f>
        <v>1</v>
      </c>
    </row>
    <row r="9" spans="1:4" ht="15.75">
      <c r="A9" s="2" t="s">
        <v>9</v>
      </c>
      <c r="B9" s="3">
        <f>COUNTIF('Ticket Tracker'!K2:K13,"Resolved")</f>
        <v>2</v>
      </c>
    </row>
    <row r="12" spans="1:4" ht="15.75">
      <c r="A12" s="4" t="s">
        <v>10</v>
      </c>
    </row>
    <row r="13" spans="1:4">
      <c r="A13" s="9" t="s">
        <v>11</v>
      </c>
      <c r="B13" s="11"/>
      <c r="C13" s="11"/>
      <c r="D13" s="11"/>
    </row>
    <row r="14" spans="1:4">
      <c r="A14" s="9" t="s">
        <v>12</v>
      </c>
      <c r="B14" s="11"/>
      <c r="C14" s="11"/>
      <c r="D14" s="11"/>
    </row>
    <row r="15" spans="1:4">
      <c r="A15" s="9" t="s">
        <v>13</v>
      </c>
      <c r="B15" s="11"/>
      <c r="C15" s="11"/>
      <c r="D15" s="11"/>
    </row>
    <row r="16" spans="1:4">
      <c r="A16" s="9" t="s">
        <v>14</v>
      </c>
      <c r="B16" s="11"/>
      <c r="C16" s="11"/>
      <c r="D16" s="11"/>
    </row>
  </sheetData>
  <mergeCells count="6">
    <mergeCell ref="A1:D1"/>
    <mergeCell ref="A15:D15"/>
    <mergeCell ref="A2:D2"/>
    <mergeCell ref="A16:D16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2" width="14" customWidth="1"/>
    <col min="3" max="4" width="16" customWidth="1"/>
    <col min="5" max="5" width="20" customWidth="1"/>
    <col min="6" max="6" width="38" customWidth="1"/>
    <col min="7" max="8" width="12" customWidth="1"/>
    <col min="9" max="9" width="18" customWidth="1"/>
    <col min="10" max="10" width="22" customWidth="1"/>
    <col min="11" max="11" width="16" customWidth="1"/>
    <col min="12" max="12" width="17" customWidth="1"/>
    <col min="13" max="13" width="13" customWidth="1"/>
    <col min="14" max="14" width="16" customWidth="1"/>
    <col min="15" max="16" width="48" customWidth="1"/>
  </cols>
  <sheetData>
    <row r="1" spans="1:16" ht="33.950000000000003" customHeight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</row>
    <row r="2" spans="1:16">
      <c r="A2" s="6" t="s">
        <v>31</v>
      </c>
      <c r="B2" s="7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6" t="s">
        <v>37</v>
      </c>
      <c r="H2" s="6" t="s">
        <v>37</v>
      </c>
      <c r="I2" s="6" t="str">
        <f t="shared" ref="I2:I13" si="0">IF(AND(G2="High",H2="High"),"P1 - Critical",IF(OR(AND(G2="High",H2="Medium"),AND(G2="Medium",H2="High")),"P2 - High",IF(OR(G2="Medium",H2="Medium"),"P3 - Normal","P4 - Low")))</f>
        <v>P1 - Critical</v>
      </c>
      <c r="J2" s="6" t="s">
        <v>38</v>
      </c>
      <c r="K2" s="6" t="s">
        <v>39</v>
      </c>
      <c r="L2" s="8">
        <v>4</v>
      </c>
      <c r="M2" s="8">
        <v>2</v>
      </c>
      <c r="N2" s="6" t="str">
        <f t="shared" ref="N2:N13" si="1">IF(K2="Resolved","Resolved",IF(M2&gt;=L2,"Breached",IF(M2&gt;=L2*0.8,"At Risk","Within SLA")))</f>
        <v>Within SLA</v>
      </c>
      <c r="O2" s="6" t="s">
        <v>40</v>
      </c>
      <c r="P2" s="6" t="s">
        <v>41</v>
      </c>
    </row>
    <row r="3" spans="1:16">
      <c r="A3" s="6" t="s">
        <v>42</v>
      </c>
      <c r="B3" s="7" t="s">
        <v>32</v>
      </c>
      <c r="C3" s="6" t="s">
        <v>43</v>
      </c>
      <c r="D3" s="6" t="s">
        <v>44</v>
      </c>
      <c r="E3" s="6" t="s">
        <v>45</v>
      </c>
      <c r="F3" s="6" t="s">
        <v>46</v>
      </c>
      <c r="G3" s="6" t="s">
        <v>37</v>
      </c>
      <c r="H3" s="6" t="s">
        <v>37</v>
      </c>
      <c r="I3" s="6" t="str">
        <f t="shared" si="0"/>
        <v>P1 - Critical</v>
      </c>
      <c r="J3" s="6" t="s">
        <v>47</v>
      </c>
      <c r="K3" s="6" t="s">
        <v>48</v>
      </c>
      <c r="L3" s="8">
        <v>4</v>
      </c>
      <c r="M3" s="8">
        <v>1</v>
      </c>
      <c r="N3" s="6" t="str">
        <f t="shared" si="1"/>
        <v>Within SLA</v>
      </c>
      <c r="O3" s="6" t="s">
        <v>49</v>
      </c>
      <c r="P3" s="6" t="s">
        <v>50</v>
      </c>
    </row>
    <row r="4" spans="1:16" ht="30">
      <c r="A4" s="6" t="s">
        <v>51</v>
      </c>
      <c r="B4" s="7" t="s">
        <v>32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37</v>
      </c>
      <c r="I4" s="6" t="str">
        <f t="shared" si="0"/>
        <v>P2 - High</v>
      </c>
      <c r="J4" s="6" t="s">
        <v>38</v>
      </c>
      <c r="K4" s="6" t="s">
        <v>9</v>
      </c>
      <c r="L4" s="8">
        <v>8</v>
      </c>
      <c r="M4" s="8">
        <v>3</v>
      </c>
      <c r="N4" s="6" t="str">
        <f t="shared" si="1"/>
        <v>Resolved</v>
      </c>
      <c r="O4" s="6" t="s">
        <v>57</v>
      </c>
      <c r="P4" s="6" t="s">
        <v>58</v>
      </c>
    </row>
    <row r="5" spans="1:16" ht="30">
      <c r="A5" s="6" t="s">
        <v>59</v>
      </c>
      <c r="B5" s="7" t="s">
        <v>60</v>
      </c>
      <c r="C5" s="6" t="s">
        <v>61</v>
      </c>
      <c r="D5" s="6" t="s">
        <v>62</v>
      </c>
      <c r="E5" s="6" t="s">
        <v>63</v>
      </c>
      <c r="F5" s="6" t="s">
        <v>64</v>
      </c>
      <c r="G5" s="6" t="s">
        <v>56</v>
      </c>
      <c r="H5" s="6" t="s">
        <v>56</v>
      </c>
      <c r="I5" s="6" t="str">
        <f t="shared" si="0"/>
        <v>P3 - Normal</v>
      </c>
      <c r="J5" s="6" t="s">
        <v>65</v>
      </c>
      <c r="K5" s="6" t="s">
        <v>39</v>
      </c>
      <c r="L5" s="8">
        <v>24</v>
      </c>
      <c r="M5" s="8">
        <v>12</v>
      </c>
      <c r="N5" s="6" t="str">
        <f t="shared" si="1"/>
        <v>Within SLA</v>
      </c>
      <c r="O5" s="6" t="s">
        <v>66</v>
      </c>
      <c r="P5" s="6" t="s">
        <v>67</v>
      </c>
    </row>
    <row r="6" spans="1:16" ht="30">
      <c r="A6" s="6" t="s">
        <v>68</v>
      </c>
      <c r="B6" s="7" t="s">
        <v>60</v>
      </c>
      <c r="C6" s="6" t="s">
        <v>69</v>
      </c>
      <c r="D6" s="6" t="s">
        <v>34</v>
      </c>
      <c r="E6" s="6" t="s">
        <v>70</v>
      </c>
      <c r="F6" s="6" t="s">
        <v>71</v>
      </c>
      <c r="G6" s="6" t="s">
        <v>37</v>
      </c>
      <c r="H6" s="6" t="s">
        <v>56</v>
      </c>
      <c r="I6" s="6" t="str">
        <f t="shared" si="0"/>
        <v>P2 - High</v>
      </c>
      <c r="J6" s="6" t="s">
        <v>72</v>
      </c>
      <c r="K6" s="6" t="s">
        <v>48</v>
      </c>
      <c r="L6" s="8">
        <v>8</v>
      </c>
      <c r="M6" s="8">
        <v>7</v>
      </c>
      <c r="N6" s="6" t="str">
        <f t="shared" si="1"/>
        <v>At Risk</v>
      </c>
      <c r="O6" s="6" t="s">
        <v>73</v>
      </c>
      <c r="P6" s="6" t="s">
        <v>74</v>
      </c>
    </row>
    <row r="7" spans="1:16">
      <c r="A7" s="6" t="s">
        <v>75</v>
      </c>
      <c r="B7" s="7" t="s">
        <v>60</v>
      </c>
      <c r="C7" s="6" t="s">
        <v>76</v>
      </c>
      <c r="D7" s="6" t="s">
        <v>77</v>
      </c>
      <c r="E7" s="6" t="s">
        <v>35</v>
      </c>
      <c r="F7" s="6" t="s">
        <v>78</v>
      </c>
      <c r="G7" s="6" t="s">
        <v>79</v>
      </c>
      <c r="H7" s="6" t="s">
        <v>79</v>
      </c>
      <c r="I7" s="6" t="str">
        <f t="shared" si="0"/>
        <v>P4 - Low</v>
      </c>
      <c r="J7" s="6" t="s">
        <v>38</v>
      </c>
      <c r="K7" s="6" t="s">
        <v>48</v>
      </c>
      <c r="L7" s="8">
        <v>48</v>
      </c>
      <c r="M7" s="8">
        <v>5</v>
      </c>
      <c r="N7" s="6" t="str">
        <f t="shared" si="1"/>
        <v>Within SLA</v>
      </c>
      <c r="O7" s="6" t="s">
        <v>80</v>
      </c>
      <c r="P7" s="6" t="s">
        <v>81</v>
      </c>
    </row>
    <row r="8" spans="1:16">
      <c r="A8" s="6" t="s">
        <v>82</v>
      </c>
      <c r="B8" s="7" t="s">
        <v>83</v>
      </c>
      <c r="C8" s="6" t="s">
        <v>84</v>
      </c>
      <c r="D8" s="6" t="s">
        <v>62</v>
      </c>
      <c r="E8" s="6" t="s">
        <v>85</v>
      </c>
      <c r="F8" s="6" t="s">
        <v>86</v>
      </c>
      <c r="G8" s="6" t="s">
        <v>37</v>
      </c>
      <c r="H8" s="6" t="s">
        <v>37</v>
      </c>
      <c r="I8" s="6" t="str">
        <f t="shared" si="0"/>
        <v>P1 - Critical</v>
      </c>
      <c r="J8" s="6" t="s">
        <v>87</v>
      </c>
      <c r="K8" s="6" t="s">
        <v>39</v>
      </c>
      <c r="L8" s="8">
        <v>4</v>
      </c>
      <c r="M8" s="8">
        <v>3</v>
      </c>
      <c r="N8" s="6" t="str">
        <f t="shared" si="1"/>
        <v>Within SLA</v>
      </c>
      <c r="O8" s="6" t="s">
        <v>88</v>
      </c>
      <c r="P8" s="6" t="s">
        <v>89</v>
      </c>
    </row>
    <row r="9" spans="1:16" ht="30">
      <c r="A9" s="6" t="s">
        <v>90</v>
      </c>
      <c r="B9" s="7" t="s">
        <v>83</v>
      </c>
      <c r="C9" s="6" t="s">
        <v>91</v>
      </c>
      <c r="D9" s="6" t="s">
        <v>53</v>
      </c>
      <c r="E9" s="6" t="s">
        <v>63</v>
      </c>
      <c r="F9" s="6" t="s">
        <v>92</v>
      </c>
      <c r="G9" s="6" t="s">
        <v>56</v>
      </c>
      <c r="H9" s="6" t="s">
        <v>56</v>
      </c>
      <c r="I9" s="6" t="str">
        <f t="shared" si="0"/>
        <v>P3 - Normal</v>
      </c>
      <c r="J9" s="6" t="s">
        <v>65</v>
      </c>
      <c r="K9" s="6" t="s">
        <v>9</v>
      </c>
      <c r="L9" s="8">
        <v>24</v>
      </c>
      <c r="M9" s="8">
        <v>9</v>
      </c>
      <c r="N9" s="6" t="str">
        <f t="shared" si="1"/>
        <v>Resolved</v>
      </c>
      <c r="O9" s="6" t="s">
        <v>93</v>
      </c>
      <c r="P9" s="6" t="s">
        <v>94</v>
      </c>
    </row>
    <row r="10" spans="1:16" ht="30">
      <c r="A10" s="6" t="s">
        <v>95</v>
      </c>
      <c r="B10" s="7" t="s">
        <v>96</v>
      </c>
      <c r="C10" s="6" t="s">
        <v>97</v>
      </c>
      <c r="D10" s="6" t="s">
        <v>44</v>
      </c>
      <c r="E10" s="6" t="s">
        <v>98</v>
      </c>
      <c r="F10" s="6" t="s">
        <v>99</v>
      </c>
      <c r="G10" s="6" t="s">
        <v>37</v>
      </c>
      <c r="H10" s="6" t="s">
        <v>37</v>
      </c>
      <c r="I10" s="6" t="str">
        <f t="shared" si="0"/>
        <v>P1 - Critical</v>
      </c>
      <c r="J10" s="6" t="s">
        <v>100</v>
      </c>
      <c r="K10" s="6" t="s">
        <v>39</v>
      </c>
      <c r="L10" s="8">
        <v>4</v>
      </c>
      <c r="M10" s="8">
        <v>1</v>
      </c>
      <c r="N10" s="6" t="str">
        <f t="shared" si="1"/>
        <v>Within SLA</v>
      </c>
      <c r="O10" s="6" t="s">
        <v>101</v>
      </c>
      <c r="P10" s="6" t="s">
        <v>102</v>
      </c>
    </row>
    <row r="11" spans="1:16" ht="30">
      <c r="A11" s="6" t="s">
        <v>103</v>
      </c>
      <c r="B11" s="7" t="s">
        <v>96</v>
      </c>
      <c r="C11" s="6" t="s">
        <v>104</v>
      </c>
      <c r="D11" s="6" t="s">
        <v>34</v>
      </c>
      <c r="E11" s="6" t="s">
        <v>45</v>
      </c>
      <c r="F11" s="6" t="s">
        <v>105</v>
      </c>
      <c r="G11" s="6" t="s">
        <v>79</v>
      </c>
      <c r="H11" s="6" t="s">
        <v>79</v>
      </c>
      <c r="I11" s="6" t="str">
        <f t="shared" si="0"/>
        <v>P4 - Low</v>
      </c>
      <c r="J11" s="6" t="s">
        <v>47</v>
      </c>
      <c r="K11" s="6" t="s">
        <v>48</v>
      </c>
      <c r="L11" s="8">
        <v>48</v>
      </c>
      <c r="M11" s="8">
        <v>0</v>
      </c>
      <c r="N11" s="6" t="str">
        <f t="shared" si="1"/>
        <v>Within SLA</v>
      </c>
      <c r="O11" s="6" t="s">
        <v>106</v>
      </c>
      <c r="P11" s="6" t="s">
        <v>107</v>
      </c>
    </row>
    <row r="12" spans="1:16" ht="30">
      <c r="A12" s="6" t="s">
        <v>108</v>
      </c>
      <c r="B12" s="7" t="s">
        <v>96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37</v>
      </c>
      <c r="H12" s="6" t="s">
        <v>37</v>
      </c>
      <c r="I12" s="6" t="str">
        <f t="shared" si="0"/>
        <v>P1 - Critical</v>
      </c>
      <c r="J12" s="6" t="s">
        <v>65</v>
      </c>
      <c r="K12" s="6" t="s">
        <v>48</v>
      </c>
      <c r="L12" s="8">
        <v>4</v>
      </c>
      <c r="M12" s="8">
        <v>1</v>
      </c>
      <c r="N12" s="6" t="str">
        <f t="shared" si="1"/>
        <v>Within SLA</v>
      </c>
      <c r="O12" s="6" t="s">
        <v>113</v>
      </c>
      <c r="P12" s="6" t="s">
        <v>114</v>
      </c>
    </row>
    <row r="13" spans="1:16" ht="30">
      <c r="A13" s="6" t="s">
        <v>115</v>
      </c>
      <c r="B13" s="7" t="s">
        <v>96</v>
      </c>
      <c r="C13" s="6" t="s">
        <v>116</v>
      </c>
      <c r="D13" s="6" t="s">
        <v>110</v>
      </c>
      <c r="E13" s="6" t="s">
        <v>117</v>
      </c>
      <c r="F13" s="6" t="s">
        <v>118</v>
      </c>
      <c r="G13" s="6" t="s">
        <v>56</v>
      </c>
      <c r="H13" s="6" t="s">
        <v>56</v>
      </c>
      <c r="I13" s="6" t="str">
        <f t="shared" si="0"/>
        <v>P3 - Normal</v>
      </c>
      <c r="J13" s="6" t="s">
        <v>65</v>
      </c>
      <c r="K13" s="6" t="s">
        <v>48</v>
      </c>
      <c r="L13" s="8">
        <v>24</v>
      </c>
      <c r="M13" s="8">
        <v>2</v>
      </c>
      <c r="N13" s="6" t="str">
        <f t="shared" si="1"/>
        <v>Within SLA</v>
      </c>
      <c r="O13" s="6" t="s">
        <v>119</v>
      </c>
      <c r="P13" s="6" t="s">
        <v>120</v>
      </c>
    </row>
  </sheetData>
  <autoFilter ref="A1:P13" xr:uid="{00000000-0009-0000-0000-000001000000}"/>
  <conditionalFormatting sqref="N2:N13">
    <cfRule type="expression" dxfId="2" priority="1">
      <formula>N2="Breached"</formula>
    </cfRule>
    <cfRule type="expression" dxfId="1" priority="2">
      <formula>N2="At Risk"</formula>
    </cfRule>
    <cfRule type="expression" dxfId="0" priority="3">
      <formula>N2="Within SLA"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" customWidth="1"/>
    <col min="2" max="2" width="65" customWidth="1"/>
    <col min="3" max="3" width="55" customWidth="1"/>
    <col min="4" max="4" width="70" customWidth="1"/>
  </cols>
  <sheetData>
    <row r="1" spans="1:4" ht="30" customHeight="1">
      <c r="A1" s="5" t="s">
        <v>121</v>
      </c>
      <c r="B1" s="5" t="s">
        <v>122</v>
      </c>
      <c r="C1" s="5" t="s">
        <v>123</v>
      </c>
      <c r="D1" s="5" t="s">
        <v>124</v>
      </c>
    </row>
    <row r="2" spans="1:4">
      <c r="A2" s="6" t="s">
        <v>23</v>
      </c>
      <c r="B2" s="6" t="s">
        <v>125</v>
      </c>
      <c r="C2" s="6" t="s">
        <v>6</v>
      </c>
      <c r="D2" s="6" t="s">
        <v>126</v>
      </c>
    </row>
    <row r="3" spans="1:4" ht="30">
      <c r="A3" s="6" t="s">
        <v>23</v>
      </c>
      <c r="B3" s="6" t="s">
        <v>127</v>
      </c>
      <c r="C3" s="6" t="s">
        <v>128</v>
      </c>
      <c r="D3" s="6" t="s">
        <v>129</v>
      </c>
    </row>
    <row r="4" spans="1:4">
      <c r="A4" s="6" t="s">
        <v>23</v>
      </c>
      <c r="B4" s="6" t="s">
        <v>130</v>
      </c>
      <c r="C4" s="6" t="s">
        <v>131</v>
      </c>
      <c r="D4" s="6" t="s">
        <v>132</v>
      </c>
    </row>
    <row r="5" spans="1:4">
      <c r="A5" s="6" t="s">
        <v>23</v>
      </c>
      <c r="B5" s="6" t="s">
        <v>133</v>
      </c>
      <c r="C5" s="6" t="s">
        <v>134</v>
      </c>
      <c r="D5" s="6" t="s">
        <v>135</v>
      </c>
    </row>
    <row r="6" spans="1:4" ht="30">
      <c r="A6" s="6" t="s">
        <v>136</v>
      </c>
      <c r="B6" s="6" t="s">
        <v>137</v>
      </c>
      <c r="C6" s="6" t="s">
        <v>138</v>
      </c>
      <c r="D6" s="6" t="s">
        <v>139</v>
      </c>
    </row>
    <row r="7" spans="1:4">
      <c r="A7" s="6" t="s">
        <v>136</v>
      </c>
      <c r="B7" s="6" t="s">
        <v>140</v>
      </c>
      <c r="C7" s="6" t="s">
        <v>141</v>
      </c>
      <c r="D7" s="6" t="s">
        <v>142</v>
      </c>
    </row>
    <row r="8" spans="1:4" ht="30">
      <c r="A8" s="6" t="s">
        <v>98</v>
      </c>
      <c r="B8" s="6" t="s">
        <v>143</v>
      </c>
      <c r="C8" s="6" t="s">
        <v>144</v>
      </c>
      <c r="D8" s="6" t="s">
        <v>145</v>
      </c>
    </row>
    <row r="9" spans="1:4">
      <c r="A9" s="6" t="s">
        <v>35</v>
      </c>
      <c r="B9" s="6" t="s">
        <v>146</v>
      </c>
      <c r="C9" s="6" t="s">
        <v>147</v>
      </c>
      <c r="D9" s="6" t="s">
        <v>148</v>
      </c>
    </row>
    <row r="10" spans="1:4">
      <c r="A10" s="6" t="s">
        <v>149</v>
      </c>
      <c r="B10" s="6" t="s">
        <v>150</v>
      </c>
      <c r="C10" s="6" t="s">
        <v>151</v>
      </c>
      <c r="D10" s="6" t="s">
        <v>152</v>
      </c>
    </row>
  </sheetData>
  <autoFilter ref="A1:D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34" customWidth="1"/>
    <col min="4" max="4" width="60" customWidth="1"/>
    <col min="5" max="5" width="30" customWidth="1"/>
    <col min="6" max="6" width="15" customWidth="1"/>
    <col min="7" max="7" width="42" customWidth="1"/>
  </cols>
  <sheetData>
    <row r="1" spans="1:7">
      <c r="A1" s="5" t="s">
        <v>153</v>
      </c>
      <c r="B1" s="5" t="s">
        <v>154</v>
      </c>
      <c r="C1" s="5" t="s">
        <v>155</v>
      </c>
      <c r="D1" s="5" t="s">
        <v>156</v>
      </c>
      <c r="E1" s="5" t="s">
        <v>157</v>
      </c>
      <c r="F1" s="5" t="s">
        <v>158</v>
      </c>
      <c r="G1" s="5" t="s">
        <v>124</v>
      </c>
    </row>
    <row r="2" spans="1:7">
      <c r="A2" s="6" t="s">
        <v>159</v>
      </c>
      <c r="B2" s="6" t="s">
        <v>160</v>
      </c>
      <c r="C2" s="6" t="s">
        <v>161</v>
      </c>
      <c r="D2" s="6" t="s">
        <v>162</v>
      </c>
      <c r="E2" s="6"/>
      <c r="F2" s="6"/>
      <c r="G2" s="6"/>
    </row>
    <row r="3" spans="1:7">
      <c r="A3" s="6" t="s">
        <v>163</v>
      </c>
      <c r="B3" s="6" t="s">
        <v>164</v>
      </c>
      <c r="C3" s="6" t="s">
        <v>165</v>
      </c>
      <c r="D3" s="6" t="s">
        <v>166</v>
      </c>
      <c r="E3" s="6"/>
      <c r="F3" s="6"/>
      <c r="G3" s="6"/>
    </row>
    <row r="4" spans="1:7">
      <c r="A4" s="6" t="s">
        <v>167</v>
      </c>
      <c r="B4" s="6" t="s">
        <v>168</v>
      </c>
      <c r="C4" s="6" t="s">
        <v>169</v>
      </c>
      <c r="D4" s="6" t="s">
        <v>170</v>
      </c>
      <c r="E4" s="6"/>
      <c r="F4" s="6"/>
      <c r="G4" s="6"/>
    </row>
    <row r="5" spans="1:7">
      <c r="A5" s="6" t="s">
        <v>171</v>
      </c>
      <c r="B5" s="6" t="s">
        <v>172</v>
      </c>
      <c r="C5" s="6" t="s">
        <v>173</v>
      </c>
      <c r="D5" s="6" t="s">
        <v>174</v>
      </c>
      <c r="E5" s="6"/>
      <c r="F5" s="6"/>
      <c r="G5" s="6"/>
    </row>
    <row r="6" spans="1:7">
      <c r="A6" s="6" t="s">
        <v>175</v>
      </c>
      <c r="B6" s="6" t="s">
        <v>176</v>
      </c>
      <c r="C6" s="6" t="s">
        <v>177</v>
      </c>
      <c r="D6" s="6" t="s">
        <v>178</v>
      </c>
      <c r="E6" s="6"/>
      <c r="F6" s="6"/>
      <c r="G6" s="6"/>
    </row>
    <row r="7" spans="1:7">
      <c r="A7" s="6" t="s">
        <v>179</v>
      </c>
      <c r="B7" s="6" t="s">
        <v>180</v>
      </c>
      <c r="C7" s="6" t="s">
        <v>181</v>
      </c>
      <c r="D7" s="6" t="s">
        <v>182</v>
      </c>
      <c r="E7" s="6"/>
      <c r="F7" s="6"/>
      <c r="G7" s="6"/>
    </row>
    <row r="8" spans="1:7" ht="30">
      <c r="A8" s="6" t="s">
        <v>183</v>
      </c>
      <c r="B8" s="6" t="s">
        <v>184</v>
      </c>
      <c r="C8" s="6" t="s">
        <v>185</v>
      </c>
      <c r="D8" s="6" t="s">
        <v>186</v>
      </c>
      <c r="E8" s="6"/>
      <c r="F8" s="6"/>
      <c r="G8" s="6"/>
    </row>
    <row r="9" spans="1:7">
      <c r="A9" s="6" t="s">
        <v>187</v>
      </c>
      <c r="B9" s="6" t="s">
        <v>188</v>
      </c>
      <c r="C9" s="6" t="s">
        <v>143</v>
      </c>
      <c r="D9" s="6" t="s">
        <v>189</v>
      </c>
      <c r="E9" s="6"/>
      <c r="F9" s="6"/>
      <c r="G9" s="6"/>
    </row>
    <row r="10" spans="1:7" ht="30">
      <c r="A10" s="6" t="s">
        <v>190</v>
      </c>
      <c r="B10" s="6" t="s">
        <v>191</v>
      </c>
      <c r="C10" s="6" t="s">
        <v>192</v>
      </c>
      <c r="D10" s="6" t="s">
        <v>193</v>
      </c>
      <c r="E10" s="6"/>
      <c r="F10" s="6"/>
      <c r="G10" s="6"/>
    </row>
  </sheetData>
  <autoFilter ref="A1:G10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X</cp:lastModifiedBy>
  <cp:revision/>
  <dcterms:created xsi:type="dcterms:W3CDTF">2026-10-28T22:01:21Z</dcterms:created>
  <dcterms:modified xsi:type="dcterms:W3CDTF">2026-10-29T02:47:12Z</dcterms:modified>
  <cp:category/>
  <cp:contentStatus/>
</cp:coreProperties>
</file>